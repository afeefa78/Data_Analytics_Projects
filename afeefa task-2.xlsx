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FEEFA NASNIN\Downloads\"/>
    </mc:Choice>
  </mc:AlternateContent>
  <xr:revisionPtr revIDLastSave="0" documentId="13_ncr:1_{67A56E54-33A7-4BBD-9434-AFB49E7B91B0}" xr6:coauthVersionLast="47" xr6:coauthVersionMax="47" xr10:uidLastSave="{00000000-0000-0000-0000-000000000000}"/>
  <bookViews>
    <workbookView xWindow="-108" yWindow="-108" windowWidth="23256" windowHeight="12456" xr2:uid="{3171AC52-6C05-42B1-812E-BE1E1CB79B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6" i="1" l="1"/>
  <c r="Q5" i="1"/>
  <c r="Q4" i="1"/>
</calcChain>
</file>

<file path=xl/sharedStrings.xml><?xml version="1.0" encoding="utf-8"?>
<sst xmlns="http://schemas.openxmlformats.org/spreadsheetml/2006/main" count="30" uniqueCount="30">
  <si>
    <t>Domestic Price</t>
  </si>
  <si>
    <t>International Price</t>
  </si>
  <si>
    <t>Product</t>
  </si>
  <si>
    <t xml:space="preserve"> South</t>
  </si>
  <si>
    <t xml:space="preserve"> East</t>
  </si>
  <si>
    <t xml:space="preserve"> West</t>
  </si>
  <si>
    <t xml:space="preserve"> Central</t>
  </si>
  <si>
    <t xml:space="preserve"> Northeast</t>
  </si>
  <si>
    <t xml:space="preserve"> Northwest</t>
  </si>
  <si>
    <t xml:space="preserve"> Southwest</t>
  </si>
  <si>
    <t xml:space="preserve"> International</t>
  </si>
  <si>
    <t>Laptop</t>
  </si>
  <si>
    <t>Smartphone</t>
  </si>
  <si>
    <t>Tablet</t>
  </si>
  <si>
    <t>Smartwatch</t>
  </si>
  <si>
    <t>Headphones</t>
  </si>
  <si>
    <t>Camera</t>
  </si>
  <si>
    <t>Monitor</t>
  </si>
  <si>
    <t>Keyboard</t>
  </si>
  <si>
    <t>Mouse</t>
  </si>
  <si>
    <t>Printer</t>
  </si>
  <si>
    <t>Position of"Tablet" in the product list</t>
  </si>
  <si>
    <t>column number of the "Southest" region</t>
  </si>
  <si>
    <t>position of the largest value less than or equal to 500</t>
  </si>
  <si>
    <t>VERTICAL MATCH</t>
  </si>
  <si>
    <t>HORIZONTAL MATCH</t>
  </si>
  <si>
    <t>Southeast</t>
  </si>
  <si>
    <t xml:space="preserve"> North</t>
  </si>
  <si>
    <t>APPROXIMATE MATCH</t>
  </si>
  <si>
    <t>MATCH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</si>
</sst>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2" borderId="2" xfId="0" applyFill="1" applyBorder="1"/>
    <xf numFmtId="0" fontId="0" fillId="0" borderId="3" xfId="0" applyBorder="1"/>
    <xf numFmtId="0" fontId="0" fillId="2" borderId="3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3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5" borderId="0" xfId="0" applyNumberFormat="1" applyFill="1"/>
    <xf numFmtId="0" fontId="0" fillId="6" borderId="0" xfId="0" applyFill="1"/>
  </cellXfs>
  <cellStyles count="1">
    <cellStyle name="Normal" xfId="0" builtinId="0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447C279-4B83-4715-801B-A75F25BD08C3}" name="Table3" displayName="Table3" ref="A2:K12" totalsRowShown="0" headerRowDxfId="0" headerRowBorderDxfId="13" tableBorderDxfId="14" totalsRowBorderDxfId="12">
  <autoFilter ref="A2:K12" xr:uid="{9447C279-4B83-4715-801B-A75F25BD08C3}"/>
  <sortState xmlns:xlrd2="http://schemas.microsoft.com/office/spreadsheetml/2017/richdata2" ref="A3:K12">
    <sortCondition ref="B2:B12"/>
  </sortState>
  <tableColumns count="11">
    <tableColumn id="1" xr3:uid="{DEF8746E-71AA-47D8-A91C-B7F03227E9EE}" name="Product" dataDxfId="11"/>
    <tableColumn id="2" xr3:uid="{8E3A24B5-F8FD-4369-B4A9-E71A95DACC58}" name=" North" dataDxfId="10"/>
    <tableColumn id="3" xr3:uid="{9DA7E0EE-0C5E-4A15-9588-29DBF3A76D2F}" name=" South" dataDxfId="9"/>
    <tableColumn id="4" xr3:uid="{89C70AA6-4F0F-483B-998F-7F6C8BAE396D}" name=" East" dataDxfId="8"/>
    <tableColumn id="5" xr3:uid="{8648F163-9346-4410-A495-23ECC040D660}" name=" West" dataDxfId="7"/>
    <tableColumn id="6" xr3:uid="{1E3B9222-CD15-4BF1-BF45-17DDDC5600E8}" name=" Central" dataDxfId="6"/>
    <tableColumn id="7" xr3:uid="{9C81F347-9855-4292-AFA8-6E3CF29BAE90}" name=" Northeast" dataDxfId="5"/>
    <tableColumn id="8" xr3:uid="{07EA0267-AC2B-4998-8EB2-F4A9CE8C8EF9}" name=" Northwest" dataDxfId="4"/>
    <tableColumn id="9" xr3:uid="{1AF2AB51-1B69-407C-9CAD-870422F41F14}" name="Southeast" dataDxfId="3"/>
    <tableColumn id="10" xr3:uid="{1A0714DA-2BEA-4350-8D8A-79C5890A4D86}" name=" Southwest" dataDxfId="2"/>
    <tableColumn id="11" xr3:uid="{3FA1F5FA-6E56-4A01-AA73-990F74CF3238}" name=" International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07954-C925-404A-9F67-4F83961B695C}">
  <dimension ref="A1:Q12"/>
  <sheetViews>
    <sheetView tabSelected="1" topLeftCell="F1" workbookViewId="0">
      <selection activeCell="N15" sqref="N15"/>
    </sheetView>
  </sheetViews>
  <sheetFormatPr defaultRowHeight="14.4" x14ac:dyDescent="0.3"/>
  <cols>
    <col min="1" max="1" width="11.109375" bestFit="1" customWidth="1"/>
    <col min="2" max="2" width="8.5546875" bestFit="1" customWidth="1"/>
    <col min="3" max="3" width="8.6640625" bestFit="1" customWidth="1"/>
    <col min="4" max="4" width="7.109375" bestFit="1" customWidth="1"/>
    <col min="5" max="5" width="7.88671875" bestFit="1" customWidth="1"/>
    <col min="6" max="6" width="9.6640625" bestFit="1" customWidth="1"/>
    <col min="7" max="7" width="12" bestFit="1" customWidth="1"/>
    <col min="8" max="8" width="12.44140625" bestFit="1" customWidth="1"/>
    <col min="9" max="9" width="11.6640625" bestFit="1" customWidth="1"/>
    <col min="10" max="10" width="12.5546875" bestFit="1" customWidth="1"/>
    <col min="11" max="11" width="14.5546875" bestFit="1" customWidth="1"/>
    <col min="13" max="13" width="25.6640625" customWidth="1"/>
    <col min="14" max="14" width="44.77734375" bestFit="1" customWidth="1"/>
    <col min="17" max="17" width="11.21875" customWidth="1"/>
  </cols>
  <sheetData>
    <row r="1" spans="1:17" x14ac:dyDescent="0.3">
      <c r="A1" s="1"/>
      <c r="B1" s="10" t="s">
        <v>0</v>
      </c>
      <c r="C1" s="11"/>
      <c r="D1" s="11"/>
      <c r="E1" s="11"/>
      <c r="F1" s="12"/>
      <c r="G1" s="10" t="s">
        <v>1</v>
      </c>
      <c r="H1" s="11"/>
      <c r="I1" s="11"/>
      <c r="J1" s="11"/>
      <c r="K1" s="12"/>
    </row>
    <row r="2" spans="1:17" x14ac:dyDescent="0.3">
      <c r="A2" s="13" t="s">
        <v>2</v>
      </c>
      <c r="B2" s="14" t="s">
        <v>27</v>
      </c>
      <c r="C2" s="14" t="s">
        <v>3</v>
      </c>
      <c r="D2" s="14" t="s">
        <v>4</v>
      </c>
      <c r="E2" s="14" t="s">
        <v>5</v>
      </c>
      <c r="F2" s="14" t="s">
        <v>6</v>
      </c>
      <c r="G2" s="14" t="s">
        <v>7</v>
      </c>
      <c r="H2" s="14" t="s">
        <v>8</v>
      </c>
      <c r="I2" s="14" t="s">
        <v>26</v>
      </c>
      <c r="J2" s="14" t="s">
        <v>9</v>
      </c>
      <c r="K2" s="15" t="s">
        <v>10</v>
      </c>
      <c r="M2" s="20" t="s">
        <v>29</v>
      </c>
    </row>
    <row r="3" spans="1:17" x14ac:dyDescent="0.3">
      <c r="A3" s="3" t="s">
        <v>19</v>
      </c>
      <c r="B3" s="1">
        <v>136</v>
      </c>
      <c r="C3" s="1">
        <v>905</v>
      </c>
      <c r="D3" s="1">
        <v>594</v>
      </c>
      <c r="E3" s="1">
        <v>607</v>
      </c>
      <c r="F3" s="1">
        <v>448</v>
      </c>
      <c r="G3" s="1">
        <v>680</v>
      </c>
      <c r="H3" s="1">
        <v>943</v>
      </c>
      <c r="I3" s="1">
        <v>295</v>
      </c>
      <c r="J3" s="1">
        <v>581</v>
      </c>
      <c r="K3" s="5">
        <v>303</v>
      </c>
    </row>
    <row r="4" spans="1:17" x14ac:dyDescent="0.3">
      <c r="A4" s="3" t="s">
        <v>12</v>
      </c>
      <c r="B4" s="1">
        <v>144</v>
      </c>
      <c r="C4" s="1">
        <v>867</v>
      </c>
      <c r="D4" s="1">
        <v>290</v>
      </c>
      <c r="E4" s="1">
        <v>758</v>
      </c>
      <c r="F4" s="1">
        <v>529</v>
      </c>
      <c r="G4" s="1">
        <v>223</v>
      </c>
      <c r="H4" s="1">
        <v>241</v>
      </c>
      <c r="I4" s="1">
        <v>587</v>
      </c>
      <c r="J4" s="1">
        <v>961</v>
      </c>
      <c r="K4" s="5">
        <v>607</v>
      </c>
      <c r="M4" s="16" t="s">
        <v>24</v>
      </c>
      <c r="N4" s="17" t="s">
        <v>21</v>
      </c>
      <c r="Q4" s="18">
        <f>MATCH("Tablet",A3:A12,0)</f>
        <v>9</v>
      </c>
    </row>
    <row r="5" spans="1:17" x14ac:dyDescent="0.3">
      <c r="A5" s="3" t="s">
        <v>14</v>
      </c>
      <c r="B5" s="1">
        <v>237</v>
      </c>
      <c r="C5" s="1">
        <v>699</v>
      </c>
      <c r="D5" s="1">
        <v>744</v>
      </c>
      <c r="E5" s="1">
        <v>298</v>
      </c>
      <c r="F5" s="1">
        <v>504</v>
      </c>
      <c r="G5" s="1">
        <v>194</v>
      </c>
      <c r="H5" s="1">
        <v>118</v>
      </c>
      <c r="I5" s="1">
        <v>212</v>
      </c>
      <c r="J5" s="1">
        <v>437</v>
      </c>
      <c r="K5" s="5">
        <v>823</v>
      </c>
      <c r="M5" s="16" t="s">
        <v>25</v>
      </c>
      <c r="N5" s="17" t="s">
        <v>22</v>
      </c>
      <c r="Q5" s="19">
        <f>MATCH("southeast",Table3[[#Headers],[ North]:[ International]],0)</f>
        <v>8</v>
      </c>
    </row>
    <row r="6" spans="1:17" x14ac:dyDescent="0.3">
      <c r="A6" s="3" t="s">
        <v>16</v>
      </c>
      <c r="B6" s="1">
        <v>252</v>
      </c>
      <c r="C6" s="1">
        <v>163</v>
      </c>
      <c r="D6" s="1">
        <v>180</v>
      </c>
      <c r="E6" s="1">
        <v>981</v>
      </c>
      <c r="F6" s="1">
        <v>345</v>
      </c>
      <c r="G6" s="1">
        <v>379</v>
      </c>
      <c r="H6" s="1">
        <v>983</v>
      </c>
      <c r="I6" s="1">
        <v>744</v>
      </c>
      <c r="J6" s="1">
        <v>105</v>
      </c>
      <c r="K6" s="5">
        <v>657</v>
      </c>
      <c r="M6" s="16" t="s">
        <v>28</v>
      </c>
      <c r="N6" s="17" t="s">
        <v>23</v>
      </c>
      <c r="Q6" s="18">
        <f>MATCH(500,Table3[[ North]],1)</f>
        <v>7</v>
      </c>
    </row>
    <row r="7" spans="1:17" x14ac:dyDescent="0.3">
      <c r="A7" s="4" t="s">
        <v>15</v>
      </c>
      <c r="B7" s="1">
        <v>291</v>
      </c>
      <c r="C7" s="1">
        <v>524</v>
      </c>
      <c r="D7" s="1">
        <v>528</v>
      </c>
      <c r="E7" s="1">
        <v>732</v>
      </c>
      <c r="F7" s="2">
        <v>169</v>
      </c>
      <c r="G7" s="1">
        <v>316</v>
      </c>
      <c r="H7" s="1">
        <v>556</v>
      </c>
      <c r="I7" s="1">
        <v>470</v>
      </c>
      <c r="J7" s="1">
        <v>844</v>
      </c>
      <c r="K7" s="5">
        <v>670</v>
      </c>
    </row>
    <row r="8" spans="1:17" x14ac:dyDescent="0.3">
      <c r="A8" s="3" t="s">
        <v>20</v>
      </c>
      <c r="B8" s="1">
        <v>381</v>
      </c>
      <c r="C8" s="1">
        <v>625</v>
      </c>
      <c r="D8" s="1">
        <v>772</v>
      </c>
      <c r="E8" s="1">
        <v>181</v>
      </c>
      <c r="F8" s="1">
        <v>232</v>
      </c>
      <c r="G8" s="1">
        <v>957</v>
      </c>
      <c r="H8" s="1">
        <v>265</v>
      </c>
      <c r="I8" s="1">
        <v>525</v>
      </c>
      <c r="J8" s="1">
        <v>637</v>
      </c>
      <c r="K8" s="5">
        <v>212</v>
      </c>
    </row>
    <row r="9" spans="1:17" x14ac:dyDescent="0.3">
      <c r="A9" s="4" t="s">
        <v>18</v>
      </c>
      <c r="B9" s="1">
        <v>431</v>
      </c>
      <c r="C9" s="1">
        <v>113</v>
      </c>
      <c r="D9" s="1">
        <v>918</v>
      </c>
      <c r="E9" s="1">
        <v>772</v>
      </c>
      <c r="F9" s="1">
        <v>653</v>
      </c>
      <c r="G9" s="1">
        <v>817</v>
      </c>
      <c r="H9" s="1">
        <v>507</v>
      </c>
      <c r="I9" s="1">
        <v>614</v>
      </c>
      <c r="J9" s="1">
        <v>763</v>
      </c>
      <c r="K9" s="6">
        <v>700</v>
      </c>
    </row>
    <row r="10" spans="1:17" x14ac:dyDescent="0.3">
      <c r="A10" s="3" t="s">
        <v>11</v>
      </c>
      <c r="B10" s="1">
        <v>711</v>
      </c>
      <c r="C10" s="1">
        <v>645</v>
      </c>
      <c r="D10" s="1">
        <v>437</v>
      </c>
      <c r="E10" s="1">
        <v>873</v>
      </c>
      <c r="F10" s="1">
        <v>153</v>
      </c>
      <c r="G10" s="1">
        <v>151</v>
      </c>
      <c r="H10" s="1">
        <v>732</v>
      </c>
      <c r="I10" s="1">
        <v>308</v>
      </c>
      <c r="J10" s="1">
        <v>676</v>
      </c>
      <c r="K10" s="5">
        <v>876</v>
      </c>
    </row>
    <row r="11" spans="1:17" x14ac:dyDescent="0.3">
      <c r="A11" s="4" t="s">
        <v>13</v>
      </c>
      <c r="B11" s="1">
        <v>876</v>
      </c>
      <c r="C11" s="1">
        <v>180</v>
      </c>
      <c r="D11" s="1">
        <v>362</v>
      </c>
      <c r="E11" s="1">
        <v>707</v>
      </c>
      <c r="F11" s="1">
        <v>767</v>
      </c>
      <c r="G11" s="1">
        <v>829</v>
      </c>
      <c r="H11" s="1">
        <v>660</v>
      </c>
      <c r="I11" s="1">
        <v>849</v>
      </c>
      <c r="J11" s="2">
        <v>988</v>
      </c>
      <c r="K11" s="5">
        <v>178</v>
      </c>
    </row>
    <row r="12" spans="1:17" x14ac:dyDescent="0.3">
      <c r="A12" s="7" t="s">
        <v>17</v>
      </c>
      <c r="B12" s="8">
        <v>890</v>
      </c>
      <c r="C12" s="8">
        <v>419</v>
      </c>
      <c r="D12" s="8">
        <v>372</v>
      </c>
      <c r="E12" s="8">
        <v>303</v>
      </c>
      <c r="F12" s="8">
        <v>481</v>
      </c>
      <c r="G12" s="8">
        <v>519</v>
      </c>
      <c r="H12" s="8">
        <v>996</v>
      </c>
      <c r="I12" s="8">
        <v>564</v>
      </c>
      <c r="J12" s="8">
        <v>386</v>
      </c>
      <c r="K12" s="9">
        <v>402</v>
      </c>
    </row>
  </sheetData>
  <mergeCells count="2">
    <mergeCell ref="B1:F1"/>
    <mergeCell ref="G1:K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Afeefa A</cp:lastModifiedBy>
  <dcterms:created xsi:type="dcterms:W3CDTF">2025-10-30T12:49:53Z</dcterms:created>
  <dcterms:modified xsi:type="dcterms:W3CDTF">2025-11-11T01:00:17Z</dcterms:modified>
</cp:coreProperties>
</file>